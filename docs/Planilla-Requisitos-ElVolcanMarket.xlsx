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q. Funcionales" sheetId="2" state="visible" r:id="rId4"/>
    <sheet name="Req. No Funcionales" sheetId="3" state="visible" r:id="rId5"/>
    <sheet name="Trazabilidad" sheetId="4" state="visible" r:id="rId6"/>
    <sheet name="Resumen" sheetId="5" state="visible" r:id="rId7"/>
  </sheets>
  <definedNames>
    <definedName function="false" hidden="true" localSheetId="1" name="_xlnm._FilterDatabase" vbProcedure="false">'Req. Funcionales'!$A$1:$H$20</definedName>
    <definedName function="false" hidden="true" localSheetId="2" name="_xlnm._FilterDatabase" vbProcedure="false">'Req. No Funcionales'!$A$1:$F$13</definedName>
    <definedName function="false" hidden="true" localSheetId="3" name="_xlnm._FilterDatabase" vbProcedure="false">Trazabilidad!$A$1:$D$22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<sst xmlns="http://schemas.openxmlformats.org/spreadsheetml/2006/main" count="377" uniqueCount="255">
  <si>
    <t xml:space="preserve">PLANILLA DE REQUERIMIENTOS</t>
  </si>
  <si>
    <t xml:space="preserve">Proyecto</t>
  </si>
  <si>
    <t xml:space="preserve">El Volcán Market — Tienda en línea Distribuidora de Gas El Volcán</t>
  </si>
  <si>
    <t xml:space="preserve">Asignatura</t>
  </si>
  <si>
    <t xml:space="preserve">DSY1104 – Desarrollo Full Stack II (Duoc UC)</t>
  </si>
  <si>
    <t xml:space="preserve">Caso</t>
  </si>
  <si>
    <t xml:space="preserve">Forma C – Distribuidora de Gas El Volcán, Chillán, Región de Ñuble</t>
  </si>
  <si>
    <t xml:space="preserve">Entrega</t>
  </si>
  <si>
    <t xml:space="preserve">Evaluación 1 – Frontend en HTML5, CSS3 y JavaScript</t>
  </si>
  <si>
    <t xml:space="preserve">Versión</t>
  </si>
  <si>
    <t xml:space="preserve">1.0</t>
  </si>
  <si>
    <t xml:space="preserve">Fecha</t>
  </si>
  <si>
    <t xml:space="preserve">Septiembre 2026</t>
  </si>
  <si>
    <t xml:space="preserve">Contenido de la planilla</t>
  </si>
  <si>
    <t xml:space="preserve">Req. Funcionales</t>
  </si>
  <si>
    <t xml:space="preserve">Listado de requisitos funcionales con prioridad, estado y criterio de aceptación.</t>
  </si>
  <si>
    <t xml:space="preserve">Req. No Funcionales</t>
  </si>
  <si>
    <t xml:space="preserve">Listado de requisitos de calidad (usabilidad, diseño, seguridad, etc.).</t>
  </si>
  <si>
    <t xml:space="preserve">Trazabilidad</t>
  </si>
  <si>
    <t xml:space="preserve">Relación entre cada requisito y los archivos del repositorio que lo implementan.</t>
  </si>
  <si>
    <t xml:space="preserve">Resumen</t>
  </si>
  <si>
    <t xml:space="preserve">Conteos automáticos por prioridad y estado (calculados con fórmulas).</t>
  </si>
  <si>
    <t xml:space="preserve">Cómo usar esta planilla</t>
  </si>
  <si>
    <t xml:space="preserve">1</t>
  </si>
  <si>
    <t xml:space="preserve">Las columnas Estado, Prioridad y Responsable son las que el equipo debe mantener actualizadas.</t>
  </si>
  <si>
    <t xml:space="preserve">2</t>
  </si>
  <si>
    <t xml:space="preserve">Estado y Prioridad se eligen desde una lista desplegable; no escribir valores libres o el Resumen dejará de cuadrar.</t>
  </si>
  <si>
    <t xml:space="preserve">3</t>
  </si>
  <si>
    <t xml:space="preserve">Al agregar un requisito nuevo, insertar la fila DENTRO del rango existente para que las fórmulas del Resumen lo tomen.</t>
  </si>
  <si>
    <t xml:space="preserve">ID</t>
  </si>
  <si>
    <t xml:space="preserve">Módulo</t>
  </si>
  <si>
    <t xml:space="preserve">Requisito</t>
  </si>
  <si>
    <t xml:space="preserve">Descripción</t>
  </si>
  <si>
    <t xml:space="preserve">Prioridad</t>
  </si>
  <si>
    <t xml:space="preserve">Estado</t>
  </si>
  <si>
    <t xml:space="preserve">Criterio de aceptación</t>
  </si>
  <si>
    <t xml:space="preserve">Usuario / Actor</t>
  </si>
  <si>
    <t xml:space="preserve">RF-01</t>
  </si>
  <si>
    <t xml:space="preserve">Catálogo</t>
  </si>
  <si>
    <t xml:space="preserve">Visualizar catálogo de productos</t>
  </si>
  <si>
    <t xml:space="preserve">Mostrar en inicio y en productos el listado de cilindros con imagen, categoría, nombre, precio en pesos chilenos y stock, generado dinámicamente desde el catálogo almacenado.</t>
  </si>
  <si>
    <t xml:space="preserve">Alta</t>
  </si>
  <si>
    <t xml:space="preserve">Implementado</t>
  </si>
  <si>
    <t xml:space="preserve">Al abrir index.html o products.html se ven las 3 tarjetas de cilindros con su precio y stock reales.</t>
  </si>
  <si>
    <t xml:space="preserve">Cliente / Visitante</t>
  </si>
  <si>
    <t xml:space="preserve">RF-02</t>
  </si>
  <si>
    <t xml:space="preserve">Ver detalle de un producto</t>
  </si>
  <si>
    <t xml:space="preserve">Abrir el detalle con el parámetro id en la URL, mostrando descripción, precio, stock y selector de cantidad. Si el id no existe, mostrar aviso de producto no encontrado.</t>
  </si>
  <si>
    <t xml:space="preserve">product-detail.html?id=2 muestra el cilindro de 11 kg; con id=99 muestra el mensaje de no encontrado.</t>
  </si>
  <si>
    <t xml:space="preserve">RF-03</t>
  </si>
  <si>
    <t xml:space="preserve">Carrito</t>
  </si>
  <si>
    <t xml:space="preserve">Agregar producto al carrito</t>
  </si>
  <si>
    <t xml:space="preserve">Agregar al carrito desde la tarjeta o desde el detalle. Si ya existe, sumar la cantidad. Nunca superar el stock disponible; con stock 0 el botón queda deshabilitado.</t>
  </si>
  <si>
    <t xml:space="preserve">Agregar dos veces el mismo cilindro deja una sola línea con cantidad 2; nunca se supera el stock.</t>
  </si>
  <si>
    <t xml:space="preserve">RF-04</t>
  </si>
  <si>
    <t xml:space="preserve">Gestionar el contenido del carrito</t>
  </si>
  <si>
    <t xml:space="preserve">Modificar la cantidad de cada línea y eliminar líneas, recalculando el subtotal de la fila y el total general de inmediato.</t>
  </si>
  <si>
    <t xml:space="preserve">Cambiar la cantidad actualiza subtotal y total sin recargar; Quitar elimina la fila.</t>
  </si>
  <si>
    <t xml:space="preserve">RF-05</t>
  </si>
  <si>
    <t xml:space="preserve">Persistir el carrito entre páginas</t>
  </si>
  <si>
    <t xml:space="preserve">Guardar el carrito en el navegador y mostrar el contador de unidades en la barra de navegación de todas las páginas de la tienda.</t>
  </si>
  <si>
    <t xml:space="preserve">Agregar productos, navegar a otra página y recargar: el contador y el carrito se mantienen.</t>
  </si>
  <si>
    <t xml:space="preserve">RF-06</t>
  </si>
  <si>
    <t xml:space="preserve">Pedidos</t>
  </si>
  <si>
    <t xml:space="preserve">Confirmar pedido de despacho</t>
  </si>
  <si>
    <t xml:space="preserve">Confirmar el pedido ingresando nombre, dirección y teléfono (notas opcionales). Registrar el pedido con fecha, items, total y estado pendiente, vaciar el carrito y notificar al cliente.</t>
  </si>
  <si>
    <t xml:space="preserve">Con el formulario válido aparece el mensaje de confirmación, el carrito queda vacío y el pedido aparece en el panel.</t>
  </si>
  <si>
    <t xml:space="preserve">Cliente</t>
  </si>
  <si>
    <t xml:space="preserve">RF-07</t>
  </si>
  <si>
    <t xml:space="preserve">Usuarios</t>
  </si>
  <si>
    <t xml:space="preserve">Registrar un nuevo cliente</t>
  </si>
  <si>
    <t xml:space="preserve">Permitir el autoregistro. Todo usuario creado por esta vía queda con perfil cliente. Rechazar correos y RUN ya existentes y dejar la sesión iniciada al finalizar.</t>
  </si>
  <si>
    <t xml:space="preserve">Registrar un correo repetido muestra el aviso; un registro válido redirige al inicio con el nombre en la barra.</t>
  </si>
  <si>
    <t xml:space="preserve">RF-08</t>
  </si>
  <si>
    <t xml:space="preserve">Iniciar sesión</t>
  </si>
  <si>
    <t xml:space="preserve">Validar correo y contraseña contra el catálogo de usuarios y redirigir según perfil: cliente a la tienda, administrador y vendedor al panel.</t>
  </si>
  <si>
    <t xml:space="preserve">Con las credenciales del administrador se entra al panel; con credenciales erróneas aparece el mensaje de error.</t>
  </si>
  <si>
    <t xml:space="preserve">Todos</t>
  </si>
  <si>
    <t xml:space="preserve">RF-09</t>
  </si>
  <si>
    <t xml:space="preserve">Cerrar sesión</t>
  </si>
  <si>
    <t xml:space="preserve">Mostrar el nombre del usuario conectado en la barra de navegación y permitir cerrar la sesión.</t>
  </si>
  <si>
    <t xml:space="preserve">Media</t>
  </si>
  <si>
    <t xml:space="preserve">Al cerrar sesión vuelven a aparecer los botones Registrarse e Iniciar sesión.</t>
  </si>
  <si>
    <t xml:space="preserve">RF-10</t>
  </si>
  <si>
    <t xml:space="preserve">Seguridad</t>
  </si>
  <si>
    <t xml:space="preserve">Controlar el acceso al panel administrativo</t>
  </si>
  <si>
    <t xml:space="preserve">Impedir el ingreso a /admin sin sesión o con perfil cliente, redirigiendo al login. El vendedor tiene acceso de solo lectura, sin gestión de usuarios ni de altas y ediciones de productos.</t>
  </si>
  <si>
    <t xml:space="preserve">Abrir admin/home.html sin sesión redirige al login; el vendedor no ve el menú Usuarios ni el botón Nuevo producto.</t>
  </si>
  <si>
    <t xml:space="preserve">Administrador / Vendedor</t>
  </si>
  <si>
    <t xml:space="preserve">RF-11</t>
  </si>
  <si>
    <t xml:space="preserve">Administración</t>
  </si>
  <si>
    <t xml:space="preserve">Administrar productos (CRUD)</t>
  </si>
  <si>
    <t xml:space="preserve">Listar, crear, editar y eliminar productos del catálogo, con confirmación previa a eliminar. Los cambios se reflejan en la tienda.</t>
  </si>
  <si>
    <t xml:space="preserve">Cambiar el precio de un cilindro en el panel se ve reflejado al volver a la tienda.</t>
  </si>
  <si>
    <t xml:space="preserve">Administrador</t>
  </si>
  <si>
    <t xml:space="preserve">RF-12</t>
  </si>
  <si>
    <t xml:space="preserve">Alertar stock crítico</t>
  </si>
  <si>
    <t xml:space="preserve">Destacar en el listado los productos cuyo stock sea menor o igual al stock crítico y contabilizarlos en el panel de inicio.</t>
  </si>
  <si>
    <t xml:space="preserve">Dejar un producto con stock 3 y crítico 5 muestra la etiqueta de alerta y suma 1 al indicador.</t>
  </si>
  <si>
    <t xml:space="preserve">RF-13</t>
  </si>
  <si>
    <t xml:space="preserve">Administrar usuarios (CRUD)</t>
  </si>
  <si>
    <t xml:space="preserve">Listar, crear, editar y eliminar usuarios, incluyendo la asignación de perfil, con confirmación previa a eliminar.</t>
  </si>
  <si>
    <t xml:space="preserve">Crear un usuario con perfil vendedor permite luego iniciar sesión con ese usuario.</t>
  </si>
  <si>
    <t xml:space="preserve">RF-14</t>
  </si>
  <si>
    <t xml:space="preserve">Consultar pedidos recibidos</t>
  </si>
  <si>
    <t xml:space="preserve">Listar los pedidos con fecha, cliente, total y estado, y ver el detalle completo (dirección, teléfono, notas y productos) en una ventana modal.</t>
  </si>
  <si>
    <t xml:space="preserve">El pedido confirmado en la tienda aparece en admin/orders.html y su detalle abre en modal.</t>
  </si>
  <si>
    <t xml:space="preserve">RF-15</t>
  </si>
  <si>
    <t xml:space="preserve">Mostrar indicadores en el panel de inicio</t>
  </si>
  <si>
    <t xml:space="preserve">Mostrar el total de productos, el total de usuarios y la cantidad de productos en stock crítico.</t>
  </si>
  <si>
    <t xml:space="preserve">Baja</t>
  </si>
  <si>
    <t xml:space="preserve">Los tres números coinciden con los listados de productos y usuarios.</t>
  </si>
  <si>
    <t xml:space="preserve">RF-16</t>
  </si>
  <si>
    <t xml:space="preserve">Formularios</t>
  </si>
  <si>
    <t xml:space="preserve">Enviar formulario de contacto</t>
  </si>
  <si>
    <t xml:space="preserve">Ofrecer un formulario de contacto con nombre, correo y comentario, validado antes del envío.</t>
  </si>
  <si>
    <t xml:space="preserve">Enviar con el comentario vacío muestra el error y no envía.</t>
  </si>
  <si>
    <t xml:space="preserve">RF-17</t>
  </si>
  <si>
    <t xml:space="preserve">Seleccionar región y comuna encadenadas</t>
  </si>
  <si>
    <t xml:space="preserve">Al elegir una región cargar solo las comunas correspondientes; la comuna permanece deshabilitada mientras no se elija región.</t>
  </si>
  <si>
    <t xml:space="preserve">Elegir Ñuble carga Chillán y Chillán Viejo, no comunas de otras regiones.</t>
  </si>
  <si>
    <t xml:space="preserve">Cliente / Administrador</t>
  </si>
  <si>
    <t xml:space="preserve">RF-18</t>
  </si>
  <si>
    <t xml:space="preserve">Navegación</t>
  </si>
  <si>
    <t xml:space="preserve">Navegar por el sitio</t>
  </si>
  <si>
    <t xml:space="preserve">Generar dinámicamente la barra de navegación de la tienda y el menú lateral del panel, marcando la página activa y adaptando las opciones al perfil conectado.</t>
  </si>
  <si>
    <t xml:space="preserve">La opción de la página actual aparece resaltada en las 11 páginas de la tienda.</t>
  </si>
  <si>
    <t xml:space="preserve">RF-19</t>
  </si>
  <si>
    <t xml:space="preserve">Contenido</t>
  </si>
  <si>
    <t xml:space="preserve">Consultar contenido institucional</t>
  </si>
  <si>
    <t xml:space="preserve">Ofrecer las páginas Nosotros, Blog y dos detalles de noticia con información de la empresa.</t>
  </si>
  <si>
    <t xml:space="preserve">Los enlaces del menú y del blog abren correctamente cada página.</t>
  </si>
  <si>
    <t xml:space="preserve">Categoría</t>
  </si>
  <si>
    <t xml:space="preserve">Verificación</t>
  </si>
  <si>
    <t xml:space="preserve">RNF-01</t>
  </si>
  <si>
    <t xml:space="preserve">Usabilidad</t>
  </si>
  <si>
    <t xml:space="preserve">Las validaciones de formulario se ejecutan en tiempo real (al escribir y al salir del campo), mostrando el mensaje de error bajo el campo afectado sin recargar la página.</t>
  </si>
  <si>
    <t xml:space="preserve">Escribir un correo inválido marca el campo en rojo antes de enviar el formulario.</t>
  </si>
  <si>
    <t xml:space="preserve">RNF-02</t>
  </si>
  <si>
    <t xml:space="preserve">Diseño responsivo</t>
  </si>
  <si>
    <t xml:space="preserve">Todas las vistas se adaptan a escritorio, tablet y móvil usando el sistema de grillas de Bootstrap 5.3 y la metaetiqueta viewport.</t>
  </si>
  <si>
    <t xml:space="preserve">A 375 px de ancho el menú colapsa en hamburguesa y las tarjetas se apilan en una columna.</t>
  </si>
  <si>
    <t xml:space="preserve">RNF-03</t>
  </si>
  <si>
    <t xml:space="preserve">Accesibilidad</t>
  </si>
  <si>
    <t xml:space="preserve">Cada control tiene su etiqueta asociada por for/id, los errores se marcan con aria-invalid, las imágenes tienen texto alternativo y cada página tiene un único h1 con estructura semántica.</t>
  </si>
  <si>
    <t xml:space="preserve">Revisión con las herramientas de desarrollo: no hay campos sin label ni imágenes sin alt.</t>
  </si>
  <si>
    <t xml:space="preserve">RNF-04</t>
  </si>
  <si>
    <t xml:space="preserve">Mantenibilidad</t>
  </si>
  <si>
    <t xml:space="preserve">Los estilos se concentran en una única hoja externa que sobrescribe variables de Bootstrap, y la lógica se separa en módulos JavaScript por responsabilidad.</t>
  </si>
  <si>
    <t xml:space="preserve">Cambiar una variable de color en custom.css actualiza el color en todo el sitio.</t>
  </si>
  <si>
    <t xml:space="preserve">RNF-05</t>
  </si>
  <si>
    <t xml:space="preserve">Compatibilidad</t>
  </si>
  <si>
    <t xml:space="preserve">El sitio funciona correctamente en las versiones vigentes de Chrome, Edge y Firefox.</t>
  </si>
  <si>
    <t xml:space="preserve">Prueba manual del flujo completo en los tres navegadores.</t>
  </si>
  <si>
    <t xml:space="preserve">RNF-06</t>
  </si>
  <si>
    <t xml:space="preserve">Rendimiento</t>
  </si>
  <si>
    <t xml:space="preserve">Cada página carga en menos de 3 segundos con una conexión doméstica estándar; las librerías externas se consumen vía CDN.</t>
  </si>
  <si>
    <t xml:space="preserve">Medición en la pestaña Red de las herramientas de desarrollo.</t>
  </si>
  <si>
    <t xml:space="preserve">RNF-07</t>
  </si>
  <si>
    <t xml:space="preserve">Persistencia</t>
  </si>
  <si>
    <t xml:space="preserve">Los datos se almacenan en localStorage bajo claves estables (productos, usuarios, carrito, pedidos y sesión) y toda lectura maneja el caso de dato corrupto sin romper la página.</t>
  </si>
  <si>
    <t xml:space="preserve">Alterar manualmente el valor guardado no rompe la página: se restaura el catálogo de fábrica.</t>
  </si>
  <si>
    <t xml:space="preserve">RNF-08</t>
  </si>
  <si>
    <t xml:space="preserve">El control de acceso por perfil se realiza en el cliente mediante la sesión guardada. Las contraseñas se almacenan sin cifrar por no existir backend; limitación conocida a resolver en la evaluación siguiente.</t>
  </si>
  <si>
    <t xml:space="preserve">Parcial (limitación conocida)</t>
  </si>
  <si>
    <t xml:space="preserve">Documentado en el ERS sección 5; se corrige al migrar a backend.</t>
  </si>
  <si>
    <t xml:space="preserve">RNF-09</t>
  </si>
  <si>
    <t xml:space="preserve">Identidad visual</t>
  </si>
  <si>
    <t xml:space="preserve">Se respeta la paleta corporativa (naranjo #E94E1D y azul oscuro #13162A), la tipografía SN Pro y un radio de bordes consistente, definidos como variables CSS.</t>
  </si>
  <si>
    <t xml:space="preserve">Inspección visual: botones, tarjetas y barra usan la misma paleta en todas las páginas.</t>
  </si>
  <si>
    <t xml:space="preserve">RNF-10</t>
  </si>
  <si>
    <t xml:space="preserve">Portabilidad</t>
  </si>
  <si>
    <t xml:space="preserve">El proyecto se ejecuta abriendo los archivos en el navegador o con cualquier servidor estático, sin instalación ni compilación.</t>
  </si>
  <si>
    <t xml:space="preserve">Abrir store/index.html directamente desde el explorador de archivos funciona.</t>
  </si>
  <si>
    <t xml:space="preserve">RNF-11</t>
  </si>
  <si>
    <t xml:space="preserve">Estándares</t>
  </si>
  <si>
    <t xml:space="preserve">El HTML es HTML5 válido según el validador del W3C; el código está comentado en español y usa nomenclatura descriptiva.</t>
  </si>
  <si>
    <t xml:space="preserve">Validación en validator.w3.org sin errores bloqueantes.</t>
  </si>
  <si>
    <t xml:space="preserve">RNF-12</t>
  </si>
  <si>
    <t xml:space="preserve">Control de versiones</t>
  </si>
  <si>
    <t xml:space="preserve">El código se mantiene en un repositorio Git público, con ramas por funcionalidad y mensajes de commit descriptivos.</t>
  </si>
  <si>
    <t xml:space="preserve">Historial del repositorio con commits de todos los integrantes.</t>
  </si>
  <si>
    <t xml:space="preserve">ID requisito</t>
  </si>
  <si>
    <t xml:space="preserve">Vistas (HTML)</t>
  </si>
  <si>
    <t xml:space="preserve">Lógica (JS / CSS)</t>
  </si>
  <si>
    <t xml:space="preserve">Funciones o elementos clave</t>
  </si>
  <si>
    <t xml:space="preserve">store/index.html, store/products.html</t>
  </si>
  <si>
    <t xml:space="preserve">assets/js/products.js</t>
  </si>
  <si>
    <t xml:space="preserve">renderProductos(), cargarCatalogoProductos()</t>
  </si>
  <si>
    <t xml:space="preserve">store/product-detail.html</t>
  </si>
  <si>
    <t xml:space="preserve">assets/js/product-detail.js</t>
  </si>
  <si>
    <t xml:space="preserve">Lectura de ?id= con URLSearchParams</t>
  </si>
  <si>
    <t xml:space="preserve">store/index.html, products.html, product-detail.html</t>
  </si>
  <si>
    <t xml:space="preserve">assets/js/cart.js</t>
  </si>
  <si>
    <t xml:space="preserve">manejarAgregarAlCarrito()</t>
  </si>
  <si>
    <t xml:space="preserve">store/cart.html</t>
  </si>
  <si>
    <t xml:space="preserve">renderCarrito(), manejarCambioCantidad(), manejarQuitarItem(), actualizarTotales()</t>
  </si>
  <si>
    <t xml:space="preserve">Todas las páginas de store/</t>
  </si>
  <si>
    <t xml:space="preserve">assets/js/cart.js, assets/js/store-nav.js</t>
  </si>
  <si>
    <t xml:space="preserve">obtenerCarrito(), guardarCarrito(), actualizarContadorCart()</t>
  </si>
  <si>
    <t xml:space="preserve">assets/js/cart.js, assets/js/orders.js</t>
  </si>
  <si>
    <t xml:space="preserve">validarFormularioDespacho(), guardarPedidos()</t>
  </si>
  <si>
    <t xml:space="preserve">store/register.html</t>
  </si>
  <si>
    <t xml:space="preserve">assets/js/register.js, assets/js/validations.js</t>
  </si>
  <si>
    <t xml:space="preserve">validarFormularioRegistro(), guardarCatalogoUsuarios()</t>
  </si>
  <si>
    <t xml:space="preserve">store/login.html</t>
  </si>
  <si>
    <t xml:space="preserve">assets/js/login.js, assets/js/users.js</t>
  </si>
  <si>
    <t xml:space="preserve">guardarSesion(), redirección por tipo de usuario</t>
  </si>
  <si>
    <t xml:space="preserve">assets/js/store-nav.js, assets/js/users.js</t>
  </si>
  <si>
    <t xml:space="preserve">cerrarSesion(), obtenerSesion()</t>
  </si>
  <si>
    <t xml:space="preserve">Todas las páginas de admin/</t>
  </si>
  <si>
    <t xml:space="preserve">assets/js/admin-guard.js, assets/js/admin-nav.js</t>
  </si>
  <si>
    <t xml:space="preserve">Redirección al login y filtrado del menú por perfil</t>
  </si>
  <si>
    <t xml:space="preserve">admin/products.html, new-product.html, edit-product.html</t>
  </si>
  <si>
    <t xml:space="preserve">assets/js/admin-products.js</t>
  </si>
  <si>
    <t xml:space="preserve">renderTablaProductos(), alta, edición y eliminación</t>
  </si>
  <si>
    <t xml:space="preserve">admin/products.html, admin/home.html</t>
  </si>
  <si>
    <t xml:space="preserve">assets/js/admin-products.js, assets/js/admin-home.js</t>
  </si>
  <si>
    <t xml:space="preserve">Comparación stock &lt;= stockCritico</t>
  </si>
  <si>
    <t xml:space="preserve">admin/users.html, new-user.html, edit-user.html</t>
  </si>
  <si>
    <t xml:space="preserve">assets/js/admin-users.js</t>
  </si>
  <si>
    <t xml:space="preserve">renderTablaUsuarios(), alta, edición y eliminación</t>
  </si>
  <si>
    <t xml:space="preserve">admin/orders.html</t>
  </si>
  <si>
    <t xml:space="preserve">assets/js/admin-orders.js, assets/js/orders.js</t>
  </si>
  <si>
    <t xml:space="preserve">renderTablaPedidos(), mostrarDetallePedido()</t>
  </si>
  <si>
    <t xml:space="preserve">admin/home.html</t>
  </si>
  <si>
    <t xml:space="preserve">assets/js/admin-home.js</t>
  </si>
  <si>
    <t xml:space="preserve">Conteo de productos, usuarios y stock crítico</t>
  </si>
  <si>
    <t xml:space="preserve">store/contact.html</t>
  </si>
  <si>
    <t xml:space="preserve">assets/js/validations.js</t>
  </si>
  <si>
    <t xml:space="preserve">validarFormularioContacto()</t>
  </si>
  <si>
    <t xml:space="preserve">store/register.html, admin/new-user.html, admin/edit-user.html</t>
  </si>
  <si>
    <t xml:space="preserve">assets/js/regiones.js, assets/js/validations.js</t>
  </si>
  <si>
    <t xml:space="preserve">aplicarFiltroComunas(), poblarSelectRegiones()</t>
  </si>
  <si>
    <t xml:space="preserve">Todas las páginas</t>
  </si>
  <si>
    <t xml:space="preserve">assets/js/store-nav.js, assets/js/admin-nav.js</t>
  </si>
  <si>
    <t xml:space="preserve">renderStoreNavbar(), renderAdminSidebar()</t>
  </si>
  <si>
    <t xml:space="preserve">store/about.html, blog.html, blog-detail-1.html, blog-detail-2.html</t>
  </si>
  <si>
    <t xml:space="preserve">—</t>
  </si>
  <si>
    <t xml:space="preserve">Contenido estático</t>
  </si>
  <si>
    <t xml:space="preserve">RNF-01 a RNF-04</t>
  </si>
  <si>
    <t xml:space="preserve">assets/js/validations.js, assets/css/custom.css</t>
  </si>
  <si>
    <t xml:space="preserve">Eventos input/blur, variables CSS de Bootstrap</t>
  </si>
  <si>
    <t xml:space="preserve">products.js, users.js, cart.js, orders.js</t>
  </si>
  <si>
    <t xml:space="preserve">Claves volcan_products_catalog, volcan_users_catalog, volcan_cart, volcan_orders, volcan_session</t>
  </si>
  <si>
    <t xml:space="preserve">Resumen de requisitos</t>
  </si>
  <si>
    <t xml:space="preserve">Todos los valores se calculan con fórmulas sobre las hojas de requisitos; no editar a mano.</t>
  </si>
  <si>
    <t xml:space="preserve">Por prioridad</t>
  </si>
  <si>
    <t xml:space="preserve">Funcionales</t>
  </si>
  <si>
    <t xml:space="preserve">No funcionales</t>
  </si>
  <si>
    <t xml:space="preserve">Total</t>
  </si>
  <si>
    <t xml:space="preserve">Por estado</t>
  </si>
  <si>
    <t xml:space="preserve">En desarrollo</t>
  </si>
  <si>
    <t xml:space="preserve">Pendiente</t>
  </si>
  <si>
    <t xml:space="preserve">% de avance (requisitos implementados sobre el total)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</si>
</sst>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162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E94E1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3162A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E94E1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94E1D"/>
        <bgColor rgb="FF99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94E1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E1D"/>
      <rgbColor rgb="FF666699"/>
      <rgbColor rgb="FF969696"/>
      <rgbColor rgb="FF003366"/>
      <rgbColor rgb="FF339966"/>
      <rgbColor rgb="FF1316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5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3"/>
      <c r="B9" s="2"/>
    </row>
    <row r="10" customFormat="false" ht="15" hidden="false" customHeight="false" outlineLevel="0" collapsed="false">
      <c r="A10" s="4" t="s">
        <v>13</v>
      </c>
      <c r="B10" s="2"/>
    </row>
    <row r="11" customFormat="false" ht="15" hidden="false" customHeight="false" outlineLevel="0" collapsed="false">
      <c r="A11" s="3" t="s">
        <v>14</v>
      </c>
      <c r="B11" s="2" t="s">
        <v>15</v>
      </c>
    </row>
    <row r="12" customFormat="false" ht="1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1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/>
      <c r="B15" s="2"/>
    </row>
    <row r="16" customFormat="false" ht="15" hidden="false" customHeight="false" outlineLevel="0" collapsed="false">
      <c r="A16" s="4" t="s">
        <v>22</v>
      </c>
      <c r="B16" s="2"/>
    </row>
    <row r="17" customFormat="false" ht="15" hidden="false" customHeight="false" outlineLevel="0" collapsed="false">
      <c r="A17" s="3" t="s">
        <v>23</v>
      </c>
      <c r="B17" s="2" t="s">
        <v>24</v>
      </c>
    </row>
    <row r="18" customFormat="false" ht="23.85" hidden="false" customHeight="false" outlineLevel="0" collapsed="false">
      <c r="A18" s="3" t="s">
        <v>25</v>
      </c>
      <c r="B18" s="2" t="s">
        <v>26</v>
      </c>
    </row>
    <row r="19" customFormat="false" ht="23.85" hidden="false" customHeight="false" outlineLevel="0" collapsed="false">
      <c r="A19" s="3" t="s">
        <v>27</v>
      </c>
      <c r="B19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6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62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</row>
    <row r="2" customFormat="false" ht="45.75" hidden="false" customHeight="true" outlineLevel="0" collapsed="false">
      <c r="A2" s="6" t="s">
        <v>37</v>
      </c>
      <c r="B2" s="6" t="s">
        <v>38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</row>
    <row r="3" customFormat="false" ht="45.75" hidden="false" customHeight="true" outlineLevel="0" collapsed="false">
      <c r="A3" s="7" t="s">
        <v>45</v>
      </c>
      <c r="B3" s="7" t="s">
        <v>38</v>
      </c>
      <c r="C3" s="7" t="s">
        <v>46</v>
      </c>
      <c r="D3" s="7" t="s">
        <v>47</v>
      </c>
      <c r="E3" s="7" t="s">
        <v>41</v>
      </c>
      <c r="F3" s="7" t="s">
        <v>42</v>
      </c>
      <c r="G3" s="7" t="s">
        <v>48</v>
      </c>
      <c r="H3" s="7" t="s">
        <v>44</v>
      </c>
    </row>
    <row r="4" customFormat="false" ht="45.75" hidden="false" customHeight="true" outlineLevel="0" collapsed="false">
      <c r="A4" s="6" t="s">
        <v>49</v>
      </c>
      <c r="B4" s="6" t="s">
        <v>50</v>
      </c>
      <c r="C4" s="6" t="s">
        <v>51</v>
      </c>
      <c r="D4" s="6" t="s">
        <v>52</v>
      </c>
      <c r="E4" s="6" t="s">
        <v>41</v>
      </c>
      <c r="F4" s="6" t="s">
        <v>42</v>
      </c>
      <c r="G4" s="6" t="s">
        <v>53</v>
      </c>
      <c r="H4" s="6" t="s">
        <v>44</v>
      </c>
    </row>
    <row r="5" customFormat="false" ht="45.75" hidden="false" customHeight="true" outlineLevel="0" collapsed="false">
      <c r="A5" s="7" t="s">
        <v>54</v>
      </c>
      <c r="B5" s="7" t="s">
        <v>50</v>
      </c>
      <c r="C5" s="7" t="s">
        <v>55</v>
      </c>
      <c r="D5" s="7" t="s">
        <v>56</v>
      </c>
      <c r="E5" s="7" t="s">
        <v>41</v>
      </c>
      <c r="F5" s="7" t="s">
        <v>42</v>
      </c>
      <c r="G5" s="7" t="s">
        <v>57</v>
      </c>
      <c r="H5" s="7" t="s">
        <v>44</v>
      </c>
    </row>
    <row r="6" customFormat="false" ht="45.75" hidden="false" customHeight="true" outlineLevel="0" collapsed="false">
      <c r="A6" s="6" t="s">
        <v>58</v>
      </c>
      <c r="B6" s="6" t="s">
        <v>50</v>
      </c>
      <c r="C6" s="6" t="s">
        <v>59</v>
      </c>
      <c r="D6" s="6" t="s">
        <v>60</v>
      </c>
      <c r="E6" s="6" t="s">
        <v>41</v>
      </c>
      <c r="F6" s="6" t="s">
        <v>42</v>
      </c>
      <c r="G6" s="6" t="s">
        <v>61</v>
      </c>
      <c r="H6" s="6" t="s">
        <v>44</v>
      </c>
    </row>
    <row r="7" customFormat="false" ht="45.75" hidden="false" customHeight="true" outlineLevel="0" collapsed="false">
      <c r="A7" s="7" t="s">
        <v>62</v>
      </c>
      <c r="B7" s="7" t="s">
        <v>63</v>
      </c>
      <c r="C7" s="7" t="s">
        <v>64</v>
      </c>
      <c r="D7" s="7" t="s">
        <v>65</v>
      </c>
      <c r="E7" s="7" t="s">
        <v>41</v>
      </c>
      <c r="F7" s="7" t="s">
        <v>42</v>
      </c>
      <c r="G7" s="7" t="s">
        <v>66</v>
      </c>
      <c r="H7" s="7" t="s">
        <v>67</v>
      </c>
    </row>
    <row r="8" customFormat="false" ht="45.75" hidden="false" customHeight="true" outlineLevel="0" collapsed="false">
      <c r="A8" s="6" t="s">
        <v>68</v>
      </c>
      <c r="B8" s="6" t="s">
        <v>69</v>
      </c>
      <c r="C8" s="6" t="s">
        <v>70</v>
      </c>
      <c r="D8" s="6" t="s">
        <v>71</v>
      </c>
      <c r="E8" s="6" t="s">
        <v>41</v>
      </c>
      <c r="F8" s="6" t="s">
        <v>42</v>
      </c>
      <c r="G8" s="6" t="s">
        <v>72</v>
      </c>
      <c r="H8" s="6" t="s">
        <v>67</v>
      </c>
    </row>
    <row r="9" customFormat="false" ht="45.75" hidden="false" customHeight="true" outlineLevel="0" collapsed="false">
      <c r="A9" s="7" t="s">
        <v>73</v>
      </c>
      <c r="B9" s="7" t="s">
        <v>69</v>
      </c>
      <c r="C9" s="7" t="s">
        <v>74</v>
      </c>
      <c r="D9" s="7" t="s">
        <v>75</v>
      </c>
      <c r="E9" s="7" t="s">
        <v>41</v>
      </c>
      <c r="F9" s="7" t="s">
        <v>42</v>
      </c>
      <c r="G9" s="7" t="s">
        <v>76</v>
      </c>
      <c r="H9" s="7" t="s">
        <v>77</v>
      </c>
    </row>
    <row r="10" customFormat="false" ht="45.75" hidden="false" customHeight="true" outlineLevel="0" collapsed="false">
      <c r="A10" s="6" t="s">
        <v>78</v>
      </c>
      <c r="B10" s="6" t="s">
        <v>69</v>
      </c>
      <c r="C10" s="6" t="s">
        <v>79</v>
      </c>
      <c r="D10" s="6" t="s">
        <v>80</v>
      </c>
      <c r="E10" s="6" t="s">
        <v>81</v>
      </c>
      <c r="F10" s="6" t="s">
        <v>42</v>
      </c>
      <c r="G10" s="6" t="s">
        <v>82</v>
      </c>
      <c r="H10" s="6" t="s">
        <v>77</v>
      </c>
    </row>
    <row r="11" customFormat="false" ht="45.75" hidden="false" customHeight="true" outlineLevel="0" collapsed="false">
      <c r="A11" s="7" t="s">
        <v>83</v>
      </c>
      <c r="B11" s="7" t="s">
        <v>84</v>
      </c>
      <c r="C11" s="7" t="s">
        <v>85</v>
      </c>
      <c r="D11" s="7" t="s">
        <v>86</v>
      </c>
      <c r="E11" s="7" t="s">
        <v>41</v>
      </c>
      <c r="F11" s="7" t="s">
        <v>42</v>
      </c>
      <c r="G11" s="7" t="s">
        <v>87</v>
      </c>
      <c r="H11" s="7" t="s">
        <v>88</v>
      </c>
    </row>
    <row r="12" customFormat="false" ht="45.75" hidden="false" customHeight="true" outlineLevel="0" collapsed="false">
      <c r="A12" s="6" t="s">
        <v>89</v>
      </c>
      <c r="B12" s="6" t="s">
        <v>90</v>
      </c>
      <c r="C12" s="6" t="s">
        <v>91</v>
      </c>
      <c r="D12" s="6" t="s">
        <v>92</v>
      </c>
      <c r="E12" s="6" t="s">
        <v>41</v>
      </c>
      <c r="F12" s="6" t="s">
        <v>42</v>
      </c>
      <c r="G12" s="6" t="s">
        <v>93</v>
      </c>
      <c r="H12" s="6" t="s">
        <v>94</v>
      </c>
    </row>
    <row r="13" customFormat="false" ht="45.75" hidden="false" customHeight="true" outlineLevel="0" collapsed="false">
      <c r="A13" s="7" t="s">
        <v>95</v>
      </c>
      <c r="B13" s="7" t="s">
        <v>90</v>
      </c>
      <c r="C13" s="7" t="s">
        <v>96</v>
      </c>
      <c r="D13" s="7" t="s">
        <v>97</v>
      </c>
      <c r="E13" s="7" t="s">
        <v>81</v>
      </c>
      <c r="F13" s="7" t="s">
        <v>42</v>
      </c>
      <c r="G13" s="7" t="s">
        <v>98</v>
      </c>
      <c r="H13" s="7" t="s">
        <v>88</v>
      </c>
    </row>
    <row r="14" customFormat="false" ht="45.75" hidden="false" customHeight="true" outlineLevel="0" collapsed="false">
      <c r="A14" s="6" t="s">
        <v>99</v>
      </c>
      <c r="B14" s="6" t="s">
        <v>90</v>
      </c>
      <c r="C14" s="6" t="s">
        <v>100</v>
      </c>
      <c r="D14" s="6" t="s">
        <v>101</v>
      </c>
      <c r="E14" s="6" t="s">
        <v>41</v>
      </c>
      <c r="F14" s="6" t="s">
        <v>42</v>
      </c>
      <c r="G14" s="6" t="s">
        <v>102</v>
      </c>
      <c r="H14" s="6" t="s">
        <v>94</v>
      </c>
    </row>
    <row r="15" customFormat="false" ht="45.75" hidden="false" customHeight="true" outlineLevel="0" collapsed="false">
      <c r="A15" s="7" t="s">
        <v>103</v>
      </c>
      <c r="B15" s="7" t="s">
        <v>63</v>
      </c>
      <c r="C15" s="7" t="s">
        <v>104</v>
      </c>
      <c r="D15" s="7" t="s">
        <v>105</v>
      </c>
      <c r="E15" s="7" t="s">
        <v>41</v>
      </c>
      <c r="F15" s="7" t="s">
        <v>42</v>
      </c>
      <c r="G15" s="7" t="s">
        <v>106</v>
      </c>
      <c r="H15" s="7" t="s">
        <v>88</v>
      </c>
    </row>
    <row r="16" customFormat="false" ht="45.75" hidden="false" customHeight="true" outlineLevel="0" collapsed="false">
      <c r="A16" s="6" t="s">
        <v>107</v>
      </c>
      <c r="B16" s="6" t="s">
        <v>90</v>
      </c>
      <c r="C16" s="6" t="s">
        <v>108</v>
      </c>
      <c r="D16" s="6" t="s">
        <v>109</v>
      </c>
      <c r="E16" s="6" t="s">
        <v>110</v>
      </c>
      <c r="F16" s="6" t="s">
        <v>42</v>
      </c>
      <c r="G16" s="6" t="s">
        <v>111</v>
      </c>
      <c r="H16" s="6" t="s">
        <v>94</v>
      </c>
    </row>
    <row r="17" customFormat="false" ht="45.75" hidden="false" customHeight="true" outlineLevel="0" collapsed="false">
      <c r="A17" s="7" t="s">
        <v>112</v>
      </c>
      <c r="B17" s="7" t="s">
        <v>113</v>
      </c>
      <c r="C17" s="7" t="s">
        <v>114</v>
      </c>
      <c r="D17" s="7" t="s">
        <v>115</v>
      </c>
      <c r="E17" s="7" t="s">
        <v>81</v>
      </c>
      <c r="F17" s="7" t="s">
        <v>42</v>
      </c>
      <c r="G17" s="7" t="s">
        <v>116</v>
      </c>
      <c r="H17" s="7" t="s">
        <v>44</v>
      </c>
    </row>
    <row r="18" customFormat="false" ht="45.75" hidden="false" customHeight="true" outlineLevel="0" collapsed="false">
      <c r="A18" s="6" t="s">
        <v>117</v>
      </c>
      <c r="B18" s="6" t="s">
        <v>113</v>
      </c>
      <c r="C18" s="6" t="s">
        <v>118</v>
      </c>
      <c r="D18" s="6" t="s">
        <v>119</v>
      </c>
      <c r="E18" s="6" t="s">
        <v>81</v>
      </c>
      <c r="F18" s="6" t="s">
        <v>42</v>
      </c>
      <c r="G18" s="6" t="s">
        <v>120</v>
      </c>
      <c r="H18" s="6" t="s">
        <v>121</v>
      </c>
    </row>
    <row r="19" customFormat="false" ht="45.75" hidden="false" customHeight="true" outlineLevel="0" collapsed="false">
      <c r="A19" s="7" t="s">
        <v>122</v>
      </c>
      <c r="B19" s="7" t="s">
        <v>123</v>
      </c>
      <c r="C19" s="7" t="s">
        <v>124</v>
      </c>
      <c r="D19" s="7" t="s">
        <v>125</v>
      </c>
      <c r="E19" s="7" t="s">
        <v>81</v>
      </c>
      <c r="F19" s="7" t="s">
        <v>42</v>
      </c>
      <c r="G19" s="7" t="s">
        <v>126</v>
      </c>
      <c r="H19" s="7" t="s">
        <v>77</v>
      </c>
    </row>
    <row r="20" customFormat="false" ht="45.75" hidden="false" customHeight="true" outlineLevel="0" collapsed="false">
      <c r="A20" s="6" t="s">
        <v>127</v>
      </c>
      <c r="B20" s="6" t="s">
        <v>128</v>
      </c>
      <c r="C20" s="6" t="s">
        <v>129</v>
      </c>
      <c r="D20" s="6" t="s">
        <v>130</v>
      </c>
      <c r="E20" s="6" t="s">
        <v>110</v>
      </c>
      <c r="F20" s="6" t="s">
        <v>42</v>
      </c>
      <c r="G20" s="6" t="s">
        <v>131</v>
      </c>
      <c r="H20" s="6" t="s">
        <v>44</v>
      </c>
    </row>
  </sheetData>
  <autoFilter ref="A1:H20"/>
  <dataValidations count="2">
    <dataValidation allowBlank="true" errorStyle="stop" operator="between" showDropDown="false" showErrorMessage="false" showInputMessage="false" sqref="E2:E20" type="list">
      <formula1>"Alta,Media,Baja"</formula1>
      <formula2>0</formula2>
    </dataValidation>
    <dataValidation allowBlank="true" errorStyle="stop" operator="between" showDropDown="false" showErrorMessage="false" showInputMessage="false" sqref="F2:F20" type="list">
      <formula1>"Implementado,En desarrollo,Pendiente,Parcial (limitación conocida)"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78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58"/>
  </cols>
  <sheetData>
    <row r="1" customFormat="false" ht="27.75" hidden="false" customHeight="true" outlineLevel="0" collapsed="false">
      <c r="A1" s="5" t="s">
        <v>29</v>
      </c>
      <c r="B1" s="5" t="s">
        <v>132</v>
      </c>
      <c r="C1" s="5" t="s">
        <v>32</v>
      </c>
      <c r="D1" s="5" t="s">
        <v>33</v>
      </c>
      <c r="E1" s="5" t="s">
        <v>34</v>
      </c>
      <c r="F1" s="5" t="s">
        <v>133</v>
      </c>
    </row>
    <row r="2" customFormat="false" ht="45.75" hidden="false" customHeight="true" outlineLevel="0" collapsed="false">
      <c r="A2" s="6" t="s">
        <v>134</v>
      </c>
      <c r="B2" s="6" t="s">
        <v>135</v>
      </c>
      <c r="C2" s="6" t="s">
        <v>136</v>
      </c>
      <c r="D2" s="6" t="s">
        <v>41</v>
      </c>
      <c r="E2" s="6" t="s">
        <v>42</v>
      </c>
      <c r="F2" s="6" t="s">
        <v>137</v>
      </c>
    </row>
    <row r="3" customFormat="false" ht="45.75" hidden="false" customHeight="true" outlineLevel="0" collapsed="false">
      <c r="A3" s="7" t="s">
        <v>138</v>
      </c>
      <c r="B3" s="7" t="s">
        <v>139</v>
      </c>
      <c r="C3" s="7" t="s">
        <v>140</v>
      </c>
      <c r="D3" s="7" t="s">
        <v>41</v>
      </c>
      <c r="E3" s="7" t="s">
        <v>42</v>
      </c>
      <c r="F3" s="7" t="s">
        <v>141</v>
      </c>
    </row>
    <row r="4" customFormat="false" ht="45.75" hidden="false" customHeight="true" outlineLevel="0" collapsed="false">
      <c r="A4" s="6" t="s">
        <v>142</v>
      </c>
      <c r="B4" s="6" t="s">
        <v>143</v>
      </c>
      <c r="C4" s="6" t="s">
        <v>144</v>
      </c>
      <c r="D4" s="6" t="s">
        <v>81</v>
      </c>
      <c r="E4" s="6" t="s">
        <v>42</v>
      </c>
      <c r="F4" s="6" t="s">
        <v>145</v>
      </c>
    </row>
    <row r="5" customFormat="false" ht="45.75" hidden="false" customHeight="true" outlineLevel="0" collapsed="false">
      <c r="A5" s="7" t="s">
        <v>146</v>
      </c>
      <c r="B5" s="7" t="s">
        <v>147</v>
      </c>
      <c r="C5" s="7" t="s">
        <v>148</v>
      </c>
      <c r="D5" s="7" t="s">
        <v>41</v>
      </c>
      <c r="E5" s="7" t="s">
        <v>42</v>
      </c>
      <c r="F5" s="7" t="s">
        <v>149</v>
      </c>
    </row>
    <row r="6" customFormat="false" ht="45.75" hidden="false" customHeight="true" outlineLevel="0" collapsed="false">
      <c r="A6" s="6" t="s">
        <v>150</v>
      </c>
      <c r="B6" s="6" t="s">
        <v>151</v>
      </c>
      <c r="C6" s="6" t="s">
        <v>152</v>
      </c>
      <c r="D6" s="6" t="s">
        <v>81</v>
      </c>
      <c r="E6" s="6" t="s">
        <v>42</v>
      </c>
      <c r="F6" s="6" t="s">
        <v>153</v>
      </c>
    </row>
    <row r="7" customFormat="false" ht="45.75" hidden="false" customHeight="true" outlineLevel="0" collapsed="false">
      <c r="A7" s="7" t="s">
        <v>154</v>
      </c>
      <c r="B7" s="7" t="s">
        <v>155</v>
      </c>
      <c r="C7" s="7" t="s">
        <v>156</v>
      </c>
      <c r="D7" s="7" t="s">
        <v>81</v>
      </c>
      <c r="E7" s="7" t="s">
        <v>42</v>
      </c>
      <c r="F7" s="7" t="s">
        <v>157</v>
      </c>
    </row>
    <row r="8" customFormat="false" ht="45.75" hidden="false" customHeight="true" outlineLevel="0" collapsed="false">
      <c r="A8" s="6" t="s">
        <v>158</v>
      </c>
      <c r="B8" s="6" t="s">
        <v>159</v>
      </c>
      <c r="C8" s="6" t="s">
        <v>160</v>
      </c>
      <c r="D8" s="6" t="s">
        <v>41</v>
      </c>
      <c r="E8" s="6" t="s">
        <v>42</v>
      </c>
      <c r="F8" s="6" t="s">
        <v>161</v>
      </c>
    </row>
    <row r="9" customFormat="false" ht="45.75" hidden="false" customHeight="true" outlineLevel="0" collapsed="false">
      <c r="A9" s="7" t="s">
        <v>162</v>
      </c>
      <c r="B9" s="7" t="s">
        <v>84</v>
      </c>
      <c r="C9" s="7" t="s">
        <v>163</v>
      </c>
      <c r="D9" s="7" t="s">
        <v>41</v>
      </c>
      <c r="E9" s="7" t="s">
        <v>164</v>
      </c>
      <c r="F9" s="7" t="s">
        <v>165</v>
      </c>
    </row>
    <row r="10" customFormat="false" ht="45.75" hidden="false" customHeight="true" outlineLevel="0" collapsed="false">
      <c r="A10" s="6" t="s">
        <v>166</v>
      </c>
      <c r="B10" s="6" t="s">
        <v>167</v>
      </c>
      <c r="C10" s="6" t="s">
        <v>168</v>
      </c>
      <c r="D10" s="6" t="s">
        <v>81</v>
      </c>
      <c r="E10" s="6" t="s">
        <v>42</v>
      </c>
      <c r="F10" s="6" t="s">
        <v>169</v>
      </c>
    </row>
    <row r="11" customFormat="false" ht="45.75" hidden="false" customHeight="true" outlineLevel="0" collapsed="false">
      <c r="A11" s="7" t="s">
        <v>170</v>
      </c>
      <c r="B11" s="7" t="s">
        <v>171</v>
      </c>
      <c r="C11" s="7" t="s">
        <v>172</v>
      </c>
      <c r="D11" s="7" t="s">
        <v>81</v>
      </c>
      <c r="E11" s="7" t="s">
        <v>42</v>
      </c>
      <c r="F11" s="7" t="s">
        <v>173</v>
      </c>
    </row>
    <row r="12" customFormat="false" ht="45.75" hidden="false" customHeight="true" outlineLevel="0" collapsed="false">
      <c r="A12" s="6" t="s">
        <v>174</v>
      </c>
      <c r="B12" s="6" t="s">
        <v>175</v>
      </c>
      <c r="C12" s="6" t="s">
        <v>176</v>
      </c>
      <c r="D12" s="6" t="s">
        <v>81</v>
      </c>
      <c r="E12" s="6" t="s">
        <v>42</v>
      </c>
      <c r="F12" s="6" t="s">
        <v>177</v>
      </c>
    </row>
    <row r="13" customFormat="false" ht="45.75" hidden="false" customHeight="true" outlineLevel="0" collapsed="false">
      <c r="A13" s="7" t="s">
        <v>178</v>
      </c>
      <c r="B13" s="7" t="s">
        <v>179</v>
      </c>
      <c r="C13" s="7" t="s">
        <v>180</v>
      </c>
      <c r="D13" s="7" t="s">
        <v>81</v>
      </c>
      <c r="E13" s="7" t="s">
        <v>42</v>
      </c>
      <c r="F13" s="7" t="s">
        <v>181</v>
      </c>
    </row>
  </sheetData>
  <autoFilter ref="A1:F13"/>
  <dataValidations count="2">
    <dataValidation allowBlank="true" errorStyle="stop" operator="between" showDropDown="false" showErrorMessage="false" showInputMessage="false" sqref="D2:D13" type="list">
      <formula1>"Alta,Media,Baja"</formula1>
      <formula2>0</formula2>
    </dataValidation>
    <dataValidation allowBlank="true" errorStyle="stop" operator="between" showDropDown="false" showErrorMessage="false" showInputMessage="false" sqref="E2:E13" type="list">
      <formula1>"Implementado,En desarrollo,Pendiente,Parcial (limitación conocida)"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48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5" t="s">
        <v>182</v>
      </c>
      <c r="B1" s="5" t="s">
        <v>183</v>
      </c>
      <c r="C1" s="5" t="s">
        <v>184</v>
      </c>
      <c r="D1" s="5" t="s">
        <v>185</v>
      </c>
    </row>
    <row r="2" customFormat="false" ht="45.75" hidden="false" customHeight="true" outlineLevel="0" collapsed="false">
      <c r="A2" s="6" t="s">
        <v>37</v>
      </c>
      <c r="B2" s="6" t="s">
        <v>186</v>
      </c>
      <c r="C2" s="6" t="s">
        <v>187</v>
      </c>
      <c r="D2" s="6" t="s">
        <v>188</v>
      </c>
    </row>
    <row r="3" customFormat="false" ht="45.75" hidden="false" customHeight="true" outlineLevel="0" collapsed="false">
      <c r="A3" s="7" t="s">
        <v>45</v>
      </c>
      <c r="B3" s="7" t="s">
        <v>189</v>
      </c>
      <c r="C3" s="7" t="s">
        <v>190</v>
      </c>
      <c r="D3" s="7" t="s">
        <v>191</v>
      </c>
    </row>
    <row r="4" customFormat="false" ht="45.75" hidden="false" customHeight="true" outlineLevel="0" collapsed="false">
      <c r="A4" s="6" t="s">
        <v>49</v>
      </c>
      <c r="B4" s="6" t="s">
        <v>192</v>
      </c>
      <c r="C4" s="6" t="s">
        <v>193</v>
      </c>
      <c r="D4" s="6" t="s">
        <v>194</v>
      </c>
    </row>
    <row r="5" customFormat="false" ht="45.75" hidden="false" customHeight="true" outlineLevel="0" collapsed="false">
      <c r="A5" s="7" t="s">
        <v>54</v>
      </c>
      <c r="B5" s="7" t="s">
        <v>195</v>
      </c>
      <c r="C5" s="7" t="s">
        <v>193</v>
      </c>
      <c r="D5" s="7" t="s">
        <v>196</v>
      </c>
    </row>
    <row r="6" customFormat="false" ht="45.75" hidden="false" customHeight="true" outlineLevel="0" collapsed="false">
      <c r="A6" s="6" t="s">
        <v>58</v>
      </c>
      <c r="B6" s="6" t="s">
        <v>197</v>
      </c>
      <c r="C6" s="6" t="s">
        <v>198</v>
      </c>
      <c r="D6" s="6" t="s">
        <v>199</v>
      </c>
    </row>
    <row r="7" customFormat="false" ht="45.75" hidden="false" customHeight="true" outlineLevel="0" collapsed="false">
      <c r="A7" s="7" t="s">
        <v>62</v>
      </c>
      <c r="B7" s="7" t="s">
        <v>195</v>
      </c>
      <c r="C7" s="7" t="s">
        <v>200</v>
      </c>
      <c r="D7" s="7" t="s">
        <v>201</v>
      </c>
    </row>
    <row r="8" customFormat="false" ht="45.75" hidden="false" customHeight="true" outlineLevel="0" collapsed="false">
      <c r="A8" s="6" t="s">
        <v>68</v>
      </c>
      <c r="B8" s="6" t="s">
        <v>202</v>
      </c>
      <c r="C8" s="6" t="s">
        <v>203</v>
      </c>
      <c r="D8" s="6" t="s">
        <v>204</v>
      </c>
    </row>
    <row r="9" customFormat="false" ht="45.75" hidden="false" customHeight="true" outlineLevel="0" collapsed="false">
      <c r="A9" s="7" t="s">
        <v>73</v>
      </c>
      <c r="B9" s="7" t="s">
        <v>205</v>
      </c>
      <c r="C9" s="7" t="s">
        <v>206</v>
      </c>
      <c r="D9" s="7" t="s">
        <v>207</v>
      </c>
    </row>
    <row r="10" customFormat="false" ht="45.75" hidden="false" customHeight="true" outlineLevel="0" collapsed="false">
      <c r="A10" s="6" t="s">
        <v>78</v>
      </c>
      <c r="B10" s="6" t="s">
        <v>197</v>
      </c>
      <c r="C10" s="6" t="s">
        <v>208</v>
      </c>
      <c r="D10" s="6" t="s">
        <v>209</v>
      </c>
    </row>
    <row r="11" customFormat="false" ht="45.75" hidden="false" customHeight="true" outlineLevel="0" collapsed="false">
      <c r="A11" s="7" t="s">
        <v>83</v>
      </c>
      <c r="B11" s="7" t="s">
        <v>210</v>
      </c>
      <c r="C11" s="7" t="s">
        <v>211</v>
      </c>
      <c r="D11" s="7" t="s">
        <v>212</v>
      </c>
    </row>
    <row r="12" customFormat="false" ht="45.75" hidden="false" customHeight="true" outlineLevel="0" collapsed="false">
      <c r="A12" s="6" t="s">
        <v>89</v>
      </c>
      <c r="B12" s="6" t="s">
        <v>213</v>
      </c>
      <c r="C12" s="6" t="s">
        <v>214</v>
      </c>
      <c r="D12" s="6" t="s">
        <v>215</v>
      </c>
    </row>
    <row r="13" customFormat="false" ht="45.75" hidden="false" customHeight="true" outlineLevel="0" collapsed="false">
      <c r="A13" s="7" t="s">
        <v>95</v>
      </c>
      <c r="B13" s="7" t="s">
        <v>216</v>
      </c>
      <c r="C13" s="7" t="s">
        <v>217</v>
      </c>
      <c r="D13" s="7" t="s">
        <v>218</v>
      </c>
    </row>
    <row r="14" customFormat="false" ht="45.75" hidden="false" customHeight="true" outlineLevel="0" collapsed="false">
      <c r="A14" s="6" t="s">
        <v>99</v>
      </c>
      <c r="B14" s="6" t="s">
        <v>219</v>
      </c>
      <c r="C14" s="6" t="s">
        <v>220</v>
      </c>
      <c r="D14" s="6" t="s">
        <v>221</v>
      </c>
    </row>
    <row r="15" customFormat="false" ht="45.75" hidden="false" customHeight="true" outlineLevel="0" collapsed="false">
      <c r="A15" s="7" t="s">
        <v>103</v>
      </c>
      <c r="B15" s="7" t="s">
        <v>222</v>
      </c>
      <c r="C15" s="7" t="s">
        <v>223</v>
      </c>
      <c r="D15" s="7" t="s">
        <v>224</v>
      </c>
    </row>
    <row r="16" customFormat="false" ht="45.75" hidden="false" customHeight="true" outlineLevel="0" collapsed="false">
      <c r="A16" s="6" t="s">
        <v>107</v>
      </c>
      <c r="B16" s="6" t="s">
        <v>225</v>
      </c>
      <c r="C16" s="6" t="s">
        <v>226</v>
      </c>
      <c r="D16" s="6" t="s">
        <v>227</v>
      </c>
    </row>
    <row r="17" customFormat="false" ht="45.75" hidden="false" customHeight="true" outlineLevel="0" collapsed="false">
      <c r="A17" s="7" t="s">
        <v>112</v>
      </c>
      <c r="B17" s="7" t="s">
        <v>228</v>
      </c>
      <c r="C17" s="7" t="s">
        <v>229</v>
      </c>
      <c r="D17" s="7" t="s">
        <v>230</v>
      </c>
    </row>
    <row r="18" customFormat="false" ht="45.75" hidden="false" customHeight="true" outlineLevel="0" collapsed="false">
      <c r="A18" s="6" t="s">
        <v>117</v>
      </c>
      <c r="B18" s="6" t="s">
        <v>231</v>
      </c>
      <c r="C18" s="6" t="s">
        <v>232</v>
      </c>
      <c r="D18" s="6" t="s">
        <v>233</v>
      </c>
    </row>
    <row r="19" customFormat="false" ht="45.75" hidden="false" customHeight="true" outlineLevel="0" collapsed="false">
      <c r="A19" s="7" t="s">
        <v>122</v>
      </c>
      <c r="B19" s="7" t="s">
        <v>234</v>
      </c>
      <c r="C19" s="7" t="s">
        <v>235</v>
      </c>
      <c r="D19" s="7" t="s">
        <v>236</v>
      </c>
    </row>
    <row r="20" customFormat="false" ht="45.75" hidden="false" customHeight="true" outlineLevel="0" collapsed="false">
      <c r="A20" s="6" t="s">
        <v>127</v>
      </c>
      <c r="B20" s="6" t="s">
        <v>237</v>
      </c>
      <c r="C20" s="6" t="s">
        <v>238</v>
      </c>
      <c r="D20" s="6" t="s">
        <v>239</v>
      </c>
    </row>
    <row r="21" customFormat="false" ht="45.75" hidden="false" customHeight="true" outlineLevel="0" collapsed="false">
      <c r="A21" s="7" t="s">
        <v>240</v>
      </c>
      <c r="B21" s="7" t="s">
        <v>234</v>
      </c>
      <c r="C21" s="7" t="s">
        <v>241</v>
      </c>
      <c r="D21" s="7" t="s">
        <v>242</v>
      </c>
    </row>
    <row r="22" customFormat="false" ht="45.75" hidden="false" customHeight="true" outlineLevel="0" collapsed="false">
      <c r="A22" s="6" t="s">
        <v>158</v>
      </c>
      <c r="B22" s="6" t="s">
        <v>234</v>
      </c>
      <c r="C22" s="6" t="s">
        <v>243</v>
      </c>
      <c r="D22" s="6" t="s">
        <v>244</v>
      </c>
    </row>
  </sheetData>
  <autoFilter ref="A1:D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8" t="s">
        <v>245</v>
      </c>
    </row>
    <row r="2" customFormat="false" ht="15" hidden="false" customHeight="false" outlineLevel="0" collapsed="false">
      <c r="A2" s="9" t="s">
        <v>246</v>
      </c>
    </row>
    <row r="4" customFormat="false" ht="15" hidden="false" customHeight="false" outlineLevel="0" collapsed="false">
      <c r="A4" s="10" t="s">
        <v>247</v>
      </c>
    </row>
    <row r="5" customFormat="false" ht="15" hidden="false" customHeight="false" outlineLevel="0" collapsed="false">
      <c r="A5" s="5" t="s">
        <v>33</v>
      </c>
      <c r="B5" s="5" t="s">
        <v>248</v>
      </c>
      <c r="C5" s="5" t="s">
        <v>249</v>
      </c>
      <c r="D5" s="5" t="s">
        <v>250</v>
      </c>
    </row>
    <row r="6" customFormat="false" ht="15" hidden="false" customHeight="false" outlineLevel="0" collapsed="false">
      <c r="A6" s="11" t="s">
        <v>41</v>
      </c>
      <c r="B6" s="12" t="n">
        <f aca="false">COUNTIF('Req. Funcionales'!$E$2:$E$20,$A6)</f>
        <v>12</v>
      </c>
      <c r="C6" s="12" t="n">
        <f aca="false">COUNTIF('Req. No Funcionales'!$D$2:$D$13,$A6)</f>
        <v>5</v>
      </c>
      <c r="D6" s="12" t="n">
        <f aca="false">B6+C6</f>
        <v>17</v>
      </c>
    </row>
    <row r="7" customFormat="false" ht="15" hidden="false" customHeight="false" outlineLevel="0" collapsed="false">
      <c r="A7" s="11" t="s">
        <v>81</v>
      </c>
      <c r="B7" s="12" t="n">
        <f aca="false">COUNTIF('Req. Funcionales'!$E$2:$E$20,$A7)</f>
        <v>5</v>
      </c>
      <c r="C7" s="12" t="n">
        <f aca="false">COUNTIF('Req. No Funcionales'!$D$2:$D$13,$A7)</f>
        <v>7</v>
      </c>
      <c r="D7" s="12" t="n">
        <f aca="false">B7+C7</f>
        <v>12</v>
      </c>
    </row>
    <row r="8" customFormat="false" ht="15" hidden="false" customHeight="false" outlineLevel="0" collapsed="false">
      <c r="A8" s="11" t="s">
        <v>110</v>
      </c>
      <c r="B8" s="12" t="n">
        <f aca="false">COUNTIF('Req. Funcionales'!$E$2:$E$20,$A8)</f>
        <v>2</v>
      </c>
      <c r="C8" s="12" t="n">
        <f aca="false">COUNTIF('Req. No Funcionales'!$D$2:$D$13,$A8)</f>
        <v>0</v>
      </c>
      <c r="D8" s="12" t="n">
        <f aca="false">B8+C8</f>
        <v>2</v>
      </c>
    </row>
    <row r="9" customFormat="false" ht="15" hidden="false" customHeight="false" outlineLevel="0" collapsed="false">
      <c r="A9" s="13" t="s">
        <v>250</v>
      </c>
      <c r="B9" s="14" t="n">
        <f aca="false">SUM(B6:B8)</f>
        <v>19</v>
      </c>
      <c r="C9" s="14" t="n">
        <f aca="false">SUM(C6:C8)</f>
        <v>12</v>
      </c>
      <c r="D9" s="14" t="n">
        <f aca="false">SUM(D6:D8)</f>
        <v>31</v>
      </c>
    </row>
    <row r="11" customFormat="false" ht="15" hidden="false" customHeight="false" outlineLevel="0" collapsed="false">
      <c r="A11" s="10" t="s">
        <v>251</v>
      </c>
    </row>
    <row r="12" customFormat="false" ht="15" hidden="false" customHeight="false" outlineLevel="0" collapsed="false">
      <c r="A12" s="5" t="s">
        <v>34</v>
      </c>
      <c r="B12" s="5" t="s">
        <v>248</v>
      </c>
      <c r="C12" s="5" t="s">
        <v>249</v>
      </c>
      <c r="D12" s="5" t="s">
        <v>250</v>
      </c>
    </row>
    <row r="13" customFormat="false" ht="15" hidden="false" customHeight="false" outlineLevel="0" collapsed="false">
      <c r="A13" s="11" t="s">
        <v>42</v>
      </c>
      <c r="B13" s="12" t="n">
        <f aca="false">COUNTIF('Req. Funcionales'!$F$2:$F$20,$A13)</f>
        <v>19</v>
      </c>
      <c r="C13" s="12" t="n">
        <f aca="false">COUNTIF('Req. No Funcionales'!$E$2:$E$13,$A13)</f>
        <v>11</v>
      </c>
      <c r="D13" s="12" t="n">
        <f aca="false">B13+C13</f>
        <v>30</v>
      </c>
    </row>
    <row r="14" customFormat="false" ht="15" hidden="false" customHeight="false" outlineLevel="0" collapsed="false">
      <c r="A14" s="11" t="s">
        <v>252</v>
      </c>
      <c r="B14" s="12" t="n">
        <f aca="false">COUNTIF('Req. Funcionales'!$F$2:$F$20,$A14)</f>
        <v>0</v>
      </c>
      <c r="C14" s="12" t="n">
        <f aca="false">COUNTIF('Req. No Funcionales'!$E$2:$E$13,$A14)</f>
        <v>0</v>
      </c>
      <c r="D14" s="12" t="n">
        <f aca="false">B14+C14</f>
        <v>0</v>
      </c>
    </row>
    <row r="15" customFormat="false" ht="15" hidden="false" customHeight="false" outlineLevel="0" collapsed="false">
      <c r="A15" s="11" t="s">
        <v>253</v>
      </c>
      <c r="B15" s="12" t="n">
        <f aca="false">COUNTIF('Req. Funcionales'!$F$2:$F$20,$A15)</f>
        <v>0</v>
      </c>
      <c r="C15" s="12" t="n">
        <f aca="false">COUNTIF('Req. No Funcionales'!$E$2:$E$13,$A15)</f>
        <v>0</v>
      </c>
      <c r="D15" s="12" t="n">
        <f aca="false">B15+C15</f>
        <v>0</v>
      </c>
    </row>
    <row r="16" customFormat="false" ht="15" hidden="false" customHeight="false" outlineLevel="0" collapsed="false">
      <c r="A16" s="11" t="s">
        <v>164</v>
      </c>
      <c r="B16" s="12" t="n">
        <f aca="false">COUNTIF('Req. Funcionales'!$F$2:$F$20,$A16)</f>
        <v>0</v>
      </c>
      <c r="C16" s="12" t="n">
        <f aca="false">COUNTIF('Req. No Funcionales'!$E$2:$E$13,$A16)</f>
        <v>1</v>
      </c>
      <c r="D16" s="12" t="n">
        <f aca="false">B16+C16</f>
        <v>1</v>
      </c>
    </row>
    <row r="17" customFormat="false" ht="15" hidden="false" customHeight="false" outlineLevel="0" collapsed="false">
      <c r="A17" s="13" t="s">
        <v>250</v>
      </c>
      <c r="B17" s="14" t="n">
        <f aca="false">SUM(B13:B16)</f>
        <v>19</v>
      </c>
      <c r="C17" s="14" t="n">
        <f aca="false">SUM(C13:C16)</f>
        <v>12</v>
      </c>
      <c r="D17" s="14" t="n">
        <f aca="false">SUM(D13:D16)</f>
        <v>31</v>
      </c>
    </row>
    <row r="19" customFormat="false" ht="15" hidden="false" customHeight="false" outlineLevel="0" collapsed="false">
      <c r="A19" s="3" t="s">
        <v>254</v>
      </c>
      <c r="D19" s="15" t="n">
        <f aca="false">IF(D9=0,0,D13/D9)</f>
        <v>0.967741935483871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2026-09-16T23:49:33Z</dcterms:created>
  <dc:creator>openpyxl</dc:creator>
  <dc:description/>
  <dc:language>en-US</dc:language>
  <cp:lastModifiedBy/>
  <dcterms:modified xsi:type="dcterms:W3CDTF">2026-09-16T23:49:33Z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